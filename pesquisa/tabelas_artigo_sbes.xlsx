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1" sheetId="1" r:id="rId5"/>
    <sheet state="visible" name="Table2" sheetId="2" r:id="rId6"/>
    <sheet state="visible" name="Table3" sheetId="3" r:id="rId7"/>
    <sheet state="visible" name="Table4" sheetId="4" r:id="rId8"/>
    <sheet state="visible" name="Table5" sheetId="5" r:id="rId9"/>
    <sheet state="visible" name="Table6" sheetId="6" r:id="rId10"/>
    <sheet state="visible" name="Table7" sheetId="7" r:id="rId11"/>
    <sheet state="visible" name="Table8" sheetId="8" r:id="rId12"/>
    <sheet state="visible" name="Table9" sheetId="9" r:id="rId13"/>
  </sheets>
  <definedNames/>
  <calcPr/>
</workbook>
</file>

<file path=xl/sharedStrings.xml><?xml version="1.0" encoding="utf-8"?>
<sst xmlns="http://schemas.openxmlformats.org/spreadsheetml/2006/main" count="127" uniqueCount="96">
  <si>
    <t>Step</t>
  </si>
  <si>
    <t>Description</t>
  </si>
  <si>
    <t>(1)</t>
  </si>
  <si>
    <t>Apply the search strings to obtain a list of candidates sites in seach engines, in LLM engines, in papers and with pratitioners</t>
  </si>
  <si>
    <t>(2)</t>
  </si>
  <si>
    <t>Remove replicated sites from the list</t>
  </si>
  <si>
    <t>(3)</t>
  </si>
  <si>
    <t>Apply the exclusion criteria from the listed sites</t>
  </si>
  <si>
    <t>(4)</t>
  </si>
  <si>
    <t>Apply the inclusion criteria after explore sites not excluded in step 3</t>
  </si>
  <si>
    <t>(5)</t>
  </si>
  <si>
    <t>Apply quality criteria in selected sites in step 4</t>
  </si>
  <si>
    <t>Analyze</t>
  </si>
  <si>
    <t>q&amp;a Sites</t>
  </si>
  <si>
    <t>for the purpose of</t>
  </si>
  <si>
    <t>catalog</t>
  </si>
  <si>
    <t>with respect to</t>
  </si>
  <si>
    <t>relevant q&amp;a sites and their characteristics</t>
  </si>
  <si>
    <t>from the point of view of</t>
  </si>
  <si>
    <t>researchers and pratitioners</t>
  </si>
  <si>
    <t>in the context of</t>
  </si>
  <si>
    <t>software engineering</t>
  </si>
  <si>
    <t>(P)opulation</t>
  </si>
  <si>
    <t>the largest possible number of best question and answer websites</t>
  </si>
  <si>
    <t>(I)ntevention</t>
  </si>
  <si>
    <t>for software engineering researches</t>
  </si>
  <si>
    <t>(C)omparision</t>
  </si>
  <si>
    <t>not applied</t>
  </si>
  <si>
    <t>(O)utcomes</t>
  </si>
  <si>
    <t>characteristics</t>
  </si>
  <si>
    <t>Criteria</t>
  </si>
  <si>
    <t>Major Terms</t>
  </si>
  <si>
    <t>the largest possible number of best question and answer sites</t>
  </si>
  <si>
    <t>Alterantives Terms</t>
  </si>
  <si>
    <t>(the largest possible number of best question answer sites) OR (the largest possible number of best comunity answering question sites)</t>
  </si>
  <si>
    <t>SE</t>
  </si>
  <si>
    <t>properties OR taxonomy</t>
  </si>
  <si>
    <t>Database and URL</t>
  </si>
  <si>
    <t>Search string</t>
  </si>
  <si>
    <t>google.com</t>
  </si>
  <si>
    <t>(the largest possible number of best question and answer sites software engineering characteristics) OR
(the largest possible number of best question and answer sites software engineering properties) OR
(the largest possible number of best question and answer sites software engineering taxonomy) OR
(the largest possible number of best question and answer sites SE characteristics) OR
(the largest possible number of best question and answer sites SE properties) OR
(the largest possible number of best question and answer sites SE taxonomy) OR
(the largest possible number of best question answer sites software engineering characteristics) OR
(the largest possible number of best question answer sites software engineering properties) OR
(the largest possible number of best question answer sites software engineering taxonomy) OR
(the largest possible number of best question answer sites SE characteristics) OR
(the largest possible number of best question answer sites SE properties) OR
(the largest possible number of best question answer sites SE taxonomy) OR
(the largest possible number of best community answering sites software engineering characteristics) OR
(the largest possible number of best community answering sites software engineering properties) OR
(the largest possible number of best community answering sites software engineering taxonomy) OR
(the largest possible number of best community answering sites SE characteristics) OR
(the largest possible number of best community answering sites SE properties) OR
(the largest possible number of best community answering sites SE taxonomy)</t>
  </si>
  <si>
    <t>bing.com</t>
  </si>
  <si>
    <t>gemini.com</t>
  </si>
  <si>
    <t>In the context of software engineering, What is the largest possible number of best question and answer sites and their characteristics?</t>
  </si>
  <si>
    <t>chatgpt.com</t>
  </si>
  <si>
    <t>claude.ai</t>
  </si>
  <si>
    <t>ACM Digital Library (portal.acm.org), Springer and Science Direct (www.sciencedirect.com) , IEEE Xplore (ieeeexplore.ieee.org) and  Google Scholar (scholar.google.com)</t>
  </si>
  <si>
    <t>“Q&amp;A sites” or "CQA sites" or "Community quesiton answering"</t>
  </si>
  <si>
    <t>SE Pratitioners</t>
  </si>
  <si>
    <t>Which Q&amp;A sites do software engineers use to seek software engineering knowledge?</t>
  </si>
  <si>
    <t>Type</t>
  </si>
  <si>
    <t>Id</t>
  </si>
  <si>
    <t>Connective or Asnwer</t>
  </si>
  <si>
    <t>Exclusion</t>
  </si>
  <si>
    <t>E1</t>
  </si>
  <si>
    <t>Websites, Communities, Blogs or Q&amp;A forums that are not about information technology</t>
  </si>
  <si>
    <t>OR</t>
  </si>
  <si>
    <t>E2</t>
  </si>
  <si>
    <t>Websites, Communities, Blogs or Q&amp;A forums that are not about software engineering</t>
  </si>
  <si>
    <t>E3</t>
  </si>
  <si>
    <t>Websites, Communities, Blogs or Q&amp;A forums that do not deal with general aspects of software engineering, for example, talking only about a programming language, talking only about a framework, talking only about a specific software used within the software engineering area</t>
  </si>
  <si>
    <t>Inclusion</t>
  </si>
  <si>
    <t>I1</t>
  </si>
  <si>
    <t>Websites, Communities, Blogs or Q&amp;A forums only in software engineering</t>
  </si>
  <si>
    <t>AND</t>
  </si>
  <si>
    <t>Quality</t>
  </si>
  <si>
    <t>Q1</t>
  </si>
  <si>
    <t>Is the site Accessible?</t>
  </si>
  <si>
    <t>YES/NO</t>
  </si>
  <si>
    <t>Q2</t>
  </si>
  <si>
    <t>Does the site have only papers?</t>
  </si>
  <si>
    <t>Q3</t>
  </si>
  <si>
    <t>Does the site have only tutorials?</t>
  </si>
  <si>
    <t>Q4</t>
  </si>
  <si>
    <t>Is a platform?</t>
  </si>
  <si>
    <t>Q5</t>
  </si>
  <si>
    <t>Is a forum / community / blog of q&amp;a?</t>
  </si>
  <si>
    <t>Q6</t>
  </si>
  <si>
    <t>Is the site paid ?</t>
  </si>
  <si>
    <t>Classification</t>
  </si>
  <si>
    <t>Excluded</t>
  </si>
  <si>
    <t>Sites met the exclusion criteria</t>
  </si>
  <si>
    <t>Not Selected</t>
  </si>
  <si>
    <t>Sites not excluded due to the exclusion criteria, did not meet the inclusion or quality criteria</t>
  </si>
  <si>
    <t>Selected</t>
  </si>
  <si>
    <t>Sites did not meet both the exclusion and quality criteria and met the inclusion</t>
  </si>
  <si>
    <t>Source Search</t>
  </si>
  <si>
    <t>Sites retrieved by the search string</t>
  </si>
  <si>
    <t>Selected Sites</t>
  </si>
  <si>
    <t>Search Effectiveness</t>
  </si>
  <si>
    <t>google engine</t>
  </si>
  <si>
    <t>bing engine</t>
  </si>
  <si>
    <t>chatgpt engine</t>
  </si>
  <si>
    <t>gemini engine</t>
  </si>
  <si>
    <t>claude engine</t>
  </si>
  <si>
    <t>Total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</si>
</sst>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10.0"/>
      <color rgb="FF000000"/>
      <name val="Arial"/>
    </font>
    <font>
      <sz val="11.0"/>
      <color rgb="FF000000"/>
      <name val="Arial"/>
    </font>
    <font>
      <sz val="12.0"/>
      <color rgb="FF202124"/>
      <name val="Arial"/>
    </font>
    <font>
      <sz val="10.0"/>
      <color theme="1"/>
      <name val="Arial"/>
      <scheme val="minor"/>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14">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quotePrefix="1" borderId="3" fillId="0" fontId="2" numFmtId="0" xfId="0" applyAlignment="1" applyBorder="1" applyFont="1">
      <alignment horizontal="center" readingOrder="0"/>
    </xf>
    <xf borderId="4" fillId="0" fontId="2" numFmtId="0" xfId="0" applyAlignment="1" applyBorder="1" applyFont="1">
      <alignment readingOrder="0" shrinkToFit="0" wrapText="1"/>
    </xf>
    <xf quotePrefix="1" borderId="5" fillId="0" fontId="2" numFmtId="0" xfId="0" applyAlignment="1" applyBorder="1" applyFont="1">
      <alignment horizontal="center" readingOrder="0"/>
    </xf>
    <xf borderId="6" fillId="0" fontId="2" numFmtId="0" xfId="0" applyAlignment="1" applyBorder="1" applyFont="1">
      <alignment readingOrder="0" shrinkToFit="0" wrapText="1"/>
    </xf>
    <xf borderId="3" fillId="0" fontId="2" numFmtId="0" xfId="0" applyAlignment="1" applyBorder="1" applyFont="1">
      <alignment readingOrder="0"/>
    </xf>
    <xf borderId="4" fillId="0" fontId="2" numFmtId="0" xfId="0" applyAlignment="1" applyBorder="1" applyFont="1">
      <alignment readingOrder="0"/>
    </xf>
    <xf borderId="5" fillId="0" fontId="2" numFmtId="0" xfId="0" applyAlignment="1" applyBorder="1" applyFont="1">
      <alignment readingOrder="0"/>
    </xf>
    <xf borderId="6" fillId="0" fontId="2" numFmtId="0" xfId="0" applyAlignment="1" applyBorder="1" applyFont="1">
      <alignment readingOrder="0"/>
    </xf>
    <xf borderId="1" fillId="0" fontId="2" numFmtId="0" xfId="0" applyAlignment="1" applyBorder="1" applyFont="1">
      <alignment readingOrder="0"/>
    </xf>
    <xf borderId="2" fillId="0" fontId="2" numFmtId="0" xfId="0" applyAlignment="1" applyBorder="1" applyFont="1">
      <alignment readingOrder="0"/>
    </xf>
    <xf borderId="4" fillId="0" fontId="2" numFmtId="0" xfId="0" applyBorder="1" applyFont="1"/>
    <xf borderId="7" fillId="2" fontId="1" numFmtId="0" xfId="0" applyAlignment="1" applyBorder="1" applyFont="1">
      <alignment horizontal="center" readingOrder="0"/>
    </xf>
    <xf borderId="8" fillId="2" fontId="1" numFmtId="0" xfId="0" applyAlignment="1" applyBorder="1" applyFont="1">
      <alignment horizontal="center" readingOrder="0"/>
    </xf>
    <xf borderId="3" fillId="0" fontId="2" numFmtId="0" xfId="0" applyAlignment="1" applyBorder="1" applyFont="1">
      <alignment readingOrder="0" shrinkToFit="0" wrapText="1"/>
    </xf>
    <xf borderId="3" fillId="0" fontId="2" numFmtId="0" xfId="0" applyAlignment="1" applyBorder="1" applyFont="1">
      <alignment shrinkToFit="0" wrapText="1"/>
    </xf>
    <xf borderId="5" fillId="0" fontId="2" numFmtId="0" xfId="0" applyAlignment="1" applyBorder="1" applyFont="1">
      <alignment readingOrder="0" shrinkToFit="0" wrapText="1"/>
    </xf>
    <xf borderId="0" fillId="0" fontId="2" numFmtId="0" xfId="0" applyAlignment="1" applyFont="1">
      <alignment readingOrder="0"/>
    </xf>
    <xf borderId="1" fillId="2" fontId="1" numFmtId="0" xfId="0" applyAlignment="1" applyBorder="1" applyFont="1">
      <alignment readingOrder="0"/>
    </xf>
    <xf borderId="2" fillId="2" fontId="1" numFmtId="0" xfId="0" applyAlignment="1" applyBorder="1" applyFont="1">
      <alignment readingOrder="0"/>
    </xf>
    <xf borderId="3" fillId="0" fontId="2" numFmtId="0" xfId="0" applyAlignment="1" applyBorder="1" applyFont="1">
      <alignment readingOrder="0"/>
    </xf>
    <xf borderId="4" fillId="0" fontId="3" numFmtId="0" xfId="0" applyAlignment="1" applyBorder="1" applyFont="1">
      <alignment readingOrder="0" shrinkToFit="0" wrapText="1"/>
    </xf>
    <xf borderId="3" fillId="3" fontId="4" numFmtId="0" xfId="0" applyAlignment="1" applyBorder="1" applyFill="1" applyFont="1">
      <alignment readingOrder="0" shrinkToFit="0" wrapText="1"/>
    </xf>
    <xf borderId="4" fillId="3" fontId="4" numFmtId="0" xfId="0" applyAlignment="1" applyBorder="1" applyFont="1">
      <alignment readingOrder="0" shrinkToFit="0" wrapText="1"/>
    </xf>
    <xf borderId="5" fillId="3" fontId="2" numFmtId="0" xfId="0" applyAlignment="1" applyBorder="1" applyFont="1">
      <alignment readingOrder="0"/>
    </xf>
    <xf borderId="6" fillId="3" fontId="5" numFmtId="0" xfId="0" applyAlignment="1" applyBorder="1" applyFont="1">
      <alignment readingOrder="0" shrinkToFit="0" wrapText="1"/>
    </xf>
    <xf borderId="9" fillId="2" fontId="1" numFmtId="0" xfId="0" applyAlignment="1" applyBorder="1" applyFont="1">
      <alignment horizontal="center" readingOrder="0"/>
    </xf>
    <xf borderId="2" fillId="2" fontId="1" numFmtId="0" xfId="0" applyAlignment="1" applyBorder="1" applyFont="1">
      <alignment horizontal="center" readingOrder="0" shrinkToFit="0" wrapText="1"/>
    </xf>
    <xf borderId="10" fillId="0" fontId="2" numFmtId="0" xfId="0" applyAlignment="1" applyBorder="1" applyFont="1">
      <alignment readingOrder="0"/>
    </xf>
    <xf borderId="10" fillId="0" fontId="3" numFmtId="0" xfId="0" applyAlignment="1" applyBorder="1" applyFont="1">
      <alignment readingOrder="0" shrinkToFit="0" wrapText="1"/>
    </xf>
    <xf borderId="3" fillId="0" fontId="3" numFmtId="0" xfId="0" applyAlignment="1" applyBorder="1" applyFont="1">
      <alignment readingOrder="0"/>
    </xf>
    <xf borderId="10" fillId="0" fontId="6" numFmtId="0" xfId="0" applyAlignment="1" applyBorder="1" applyFont="1">
      <alignment readingOrder="0"/>
    </xf>
    <xf borderId="10" fillId="0" fontId="4" numFmtId="0" xfId="0" applyAlignment="1" applyBorder="1" applyFont="1">
      <alignment readingOrder="0"/>
    </xf>
    <xf borderId="11" fillId="0" fontId="2" numFmtId="0" xfId="0" applyAlignment="1" applyBorder="1" applyFont="1">
      <alignment readingOrder="0"/>
    </xf>
    <xf borderId="12" fillId="0" fontId="2" numFmtId="0" xfId="0" applyAlignment="1" applyBorder="1" applyFont="1">
      <alignment readingOrder="0"/>
    </xf>
    <xf borderId="12" fillId="0" fontId="4" numFmtId="0" xfId="0" applyAlignment="1" applyBorder="1" applyFont="1">
      <alignment readingOrder="0"/>
    </xf>
    <xf borderId="13" fillId="0" fontId="2" numFmtId="0" xfId="0" applyAlignment="1" applyBorder="1" applyFont="1">
      <alignment readingOrder="0"/>
    </xf>
    <xf borderId="13" fillId="0" fontId="4" numFmtId="0" xfId="0" applyAlignment="1" applyBorder="1" applyFont="1">
      <alignment readingOrder="0"/>
    </xf>
    <xf borderId="0" fillId="0" fontId="4" numFmtId="0" xfId="0" applyFont="1"/>
    <xf borderId="1" fillId="2" fontId="1" numFmtId="0" xfId="0" applyAlignment="1" applyBorder="1" applyFont="1">
      <alignment horizontal="center" readingOrder="0" shrinkToFit="0" wrapText="1"/>
    </xf>
    <xf borderId="9" fillId="2" fontId="1" numFmtId="0" xfId="0" applyAlignment="1" applyBorder="1" applyFont="1">
      <alignment horizontal="center" readingOrder="0" shrinkToFit="0" wrapText="1"/>
    </xf>
    <xf borderId="10" fillId="0" fontId="2" numFmtId="0" xfId="0" applyAlignment="1" applyBorder="1" applyFont="1">
      <alignment readingOrder="0" shrinkToFit="0" wrapText="1"/>
    </xf>
    <xf borderId="4" fillId="0" fontId="2" numFmtId="2" xfId="0" applyAlignment="1" applyBorder="1" applyFont="1" applyNumberFormat="1">
      <alignment shrinkToFit="0" wrapText="1"/>
    </xf>
    <xf borderId="13" fillId="0" fontId="2" numFmtId="0" xfId="0" applyBorder="1" applyFont="1"/>
    <xf borderId="6" fillId="0" fontId="2" numFmtId="2" xfId="0" applyAlignment="1" applyBorder="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38.13"/>
  </cols>
  <sheetData>
    <row r="1">
      <c r="A1" s="1" t="s">
        <v>0</v>
      </c>
      <c r="B1" s="2" t="s">
        <v>1</v>
      </c>
    </row>
    <row r="2">
      <c r="A2" s="3" t="s">
        <v>2</v>
      </c>
      <c r="B2" s="4" t="s">
        <v>3</v>
      </c>
    </row>
    <row r="3">
      <c r="A3" s="3" t="s">
        <v>4</v>
      </c>
      <c r="B3" s="4" t="s">
        <v>5</v>
      </c>
    </row>
    <row r="4">
      <c r="A4" s="3" t="s">
        <v>6</v>
      </c>
      <c r="B4" s="4" t="s">
        <v>7</v>
      </c>
    </row>
    <row r="5">
      <c r="A5" s="3" t="s">
        <v>8</v>
      </c>
      <c r="B5" s="4" t="s">
        <v>9</v>
      </c>
    </row>
    <row r="6">
      <c r="A6" s="5" t="s">
        <v>10</v>
      </c>
      <c r="B6" s="6"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32.88"/>
  </cols>
  <sheetData>
    <row r="1">
      <c r="A1" s="1" t="s">
        <v>12</v>
      </c>
      <c r="B1" s="2" t="s">
        <v>13</v>
      </c>
    </row>
    <row r="2">
      <c r="A2" s="7" t="s">
        <v>14</v>
      </c>
      <c r="B2" s="8" t="s">
        <v>15</v>
      </c>
    </row>
    <row r="3">
      <c r="A3" s="7" t="s">
        <v>16</v>
      </c>
      <c r="B3" s="8" t="s">
        <v>17</v>
      </c>
    </row>
    <row r="4">
      <c r="A4" s="7" t="s">
        <v>18</v>
      </c>
      <c r="B4" s="8" t="s">
        <v>19</v>
      </c>
    </row>
    <row r="5">
      <c r="A5" s="9" t="s">
        <v>20</v>
      </c>
      <c r="B5" s="10" t="s">
        <v>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51.13"/>
  </cols>
  <sheetData>
    <row r="1">
      <c r="A1" s="11" t="s">
        <v>22</v>
      </c>
      <c r="B1" s="12" t="s">
        <v>23</v>
      </c>
    </row>
    <row r="2">
      <c r="A2" s="7" t="s">
        <v>24</v>
      </c>
      <c r="B2" s="8" t="s">
        <v>25</v>
      </c>
    </row>
    <row r="3">
      <c r="A3" s="7" t="s">
        <v>26</v>
      </c>
      <c r="B3" s="8" t="s">
        <v>27</v>
      </c>
    </row>
    <row r="4">
      <c r="A4" s="9" t="s">
        <v>28</v>
      </c>
      <c r="B4" s="10" t="s">
        <v>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38"/>
  </cols>
  <sheetData>
    <row r="1">
      <c r="A1" s="1" t="s">
        <v>30</v>
      </c>
      <c r="B1" s="2" t="s">
        <v>31</v>
      </c>
    </row>
    <row r="2">
      <c r="A2" s="7" t="s">
        <v>22</v>
      </c>
      <c r="B2" s="8" t="s">
        <v>32</v>
      </c>
    </row>
    <row r="3">
      <c r="A3" s="7" t="s">
        <v>24</v>
      </c>
      <c r="B3" s="8" t="s">
        <v>21</v>
      </c>
    </row>
    <row r="4">
      <c r="A4" s="7" t="s">
        <v>26</v>
      </c>
      <c r="B4" s="13"/>
    </row>
    <row r="5">
      <c r="A5" s="9" t="s">
        <v>28</v>
      </c>
      <c r="B5" s="10" t="s">
        <v>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45.5"/>
  </cols>
  <sheetData>
    <row r="1">
      <c r="A1" s="14" t="s">
        <v>31</v>
      </c>
      <c r="B1" s="15" t="s">
        <v>33</v>
      </c>
    </row>
    <row r="2">
      <c r="A2" s="16" t="s">
        <v>32</v>
      </c>
      <c r="B2" s="4" t="s">
        <v>34</v>
      </c>
    </row>
    <row r="3">
      <c r="A3" s="16" t="s">
        <v>21</v>
      </c>
      <c r="B3" s="8" t="s">
        <v>35</v>
      </c>
    </row>
    <row r="4">
      <c r="A4" s="17"/>
      <c r="B4" s="13"/>
    </row>
    <row r="5">
      <c r="A5" s="18" t="s">
        <v>29</v>
      </c>
      <c r="B5" s="10" t="s">
        <v>36</v>
      </c>
    </row>
    <row r="9">
      <c r="B9" s="19"/>
    </row>
    <row r="11">
      <c r="B11" s="19"/>
    </row>
    <row r="12">
      <c r="B12"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83.25"/>
    <col customWidth="1" min="3" max="3" width="56.75"/>
  </cols>
  <sheetData>
    <row r="1">
      <c r="A1" s="20" t="s">
        <v>37</v>
      </c>
      <c r="B1" s="21" t="s">
        <v>38</v>
      </c>
    </row>
    <row r="2">
      <c r="A2" s="22" t="s">
        <v>39</v>
      </c>
      <c r="B2" s="23" t="s">
        <v>40</v>
      </c>
    </row>
    <row r="3">
      <c r="A3" s="22" t="s">
        <v>41</v>
      </c>
      <c r="B3" s="23" t="s">
        <v>40</v>
      </c>
    </row>
    <row r="4">
      <c r="A4" s="22" t="s">
        <v>42</v>
      </c>
      <c r="B4" s="4" t="s">
        <v>43</v>
      </c>
    </row>
    <row r="5">
      <c r="A5" s="22" t="s">
        <v>44</v>
      </c>
      <c r="B5" s="4" t="s">
        <v>43</v>
      </c>
    </row>
    <row r="6">
      <c r="A6" s="22" t="s">
        <v>45</v>
      </c>
      <c r="B6" s="4" t="s">
        <v>43</v>
      </c>
    </row>
    <row r="7">
      <c r="A7" s="24" t="s">
        <v>46</v>
      </c>
      <c r="B7" s="25" t="s">
        <v>47</v>
      </c>
    </row>
    <row r="8">
      <c r="A8" s="26" t="s">
        <v>48</v>
      </c>
      <c r="B8" s="27" t="s">
        <v>49</v>
      </c>
    </row>
    <row r="13">
      <c r="B13" s="19"/>
    </row>
    <row r="14">
      <c r="B14" s="19"/>
    </row>
    <row r="16">
      <c r="B16"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4.13"/>
    <col customWidth="1" min="3" max="3" width="61.25"/>
  </cols>
  <sheetData>
    <row r="1">
      <c r="A1" s="1" t="s">
        <v>50</v>
      </c>
      <c r="B1" s="28" t="s">
        <v>51</v>
      </c>
      <c r="C1" s="28" t="s">
        <v>1</v>
      </c>
      <c r="D1" s="29" t="s">
        <v>52</v>
      </c>
    </row>
    <row r="2">
      <c r="A2" s="7" t="s">
        <v>53</v>
      </c>
      <c r="B2" s="30" t="s">
        <v>54</v>
      </c>
      <c r="C2" s="31" t="s">
        <v>55</v>
      </c>
      <c r="D2" s="8" t="s">
        <v>56</v>
      </c>
    </row>
    <row r="3">
      <c r="A3" s="7" t="s">
        <v>53</v>
      </c>
      <c r="B3" s="30" t="s">
        <v>57</v>
      </c>
      <c r="C3" s="31" t="s">
        <v>58</v>
      </c>
      <c r="D3" s="8" t="s">
        <v>56</v>
      </c>
    </row>
    <row r="4">
      <c r="A4" s="7" t="s">
        <v>53</v>
      </c>
      <c r="B4" s="30" t="s">
        <v>59</v>
      </c>
      <c r="C4" s="31" t="s">
        <v>60</v>
      </c>
      <c r="D4" s="8" t="s">
        <v>56</v>
      </c>
    </row>
    <row r="5">
      <c r="A5" s="32" t="s">
        <v>61</v>
      </c>
      <c r="B5" s="33" t="s">
        <v>62</v>
      </c>
      <c r="C5" s="31" t="s">
        <v>63</v>
      </c>
      <c r="D5" s="8" t="s">
        <v>64</v>
      </c>
    </row>
    <row r="6">
      <c r="A6" s="7" t="s">
        <v>65</v>
      </c>
      <c r="B6" s="30" t="s">
        <v>66</v>
      </c>
      <c r="C6" s="34" t="s">
        <v>67</v>
      </c>
      <c r="D6" s="8" t="s">
        <v>68</v>
      </c>
    </row>
    <row r="7">
      <c r="A7" s="7" t="s">
        <v>65</v>
      </c>
      <c r="B7" s="30" t="s">
        <v>69</v>
      </c>
      <c r="C7" s="34" t="s">
        <v>70</v>
      </c>
      <c r="D7" s="8" t="s">
        <v>68</v>
      </c>
    </row>
    <row r="8">
      <c r="A8" s="7" t="s">
        <v>65</v>
      </c>
      <c r="B8" s="30" t="s">
        <v>71</v>
      </c>
      <c r="C8" s="34" t="s">
        <v>72</v>
      </c>
      <c r="D8" s="8" t="s">
        <v>68</v>
      </c>
    </row>
    <row r="9">
      <c r="A9" s="7" t="s">
        <v>65</v>
      </c>
      <c r="B9" s="30" t="s">
        <v>73</v>
      </c>
      <c r="C9" s="34" t="s">
        <v>74</v>
      </c>
      <c r="D9" s="8" t="s">
        <v>68</v>
      </c>
    </row>
    <row r="10">
      <c r="A10" s="35" t="s">
        <v>65</v>
      </c>
      <c r="B10" s="36" t="s">
        <v>75</v>
      </c>
      <c r="C10" s="37" t="s">
        <v>76</v>
      </c>
      <c r="D10" s="8" t="s">
        <v>68</v>
      </c>
    </row>
    <row r="11">
      <c r="A11" s="9" t="s">
        <v>65</v>
      </c>
      <c r="B11" s="38" t="s">
        <v>77</v>
      </c>
      <c r="C11" s="39" t="s">
        <v>78</v>
      </c>
      <c r="D11" s="10" t="s">
        <v>68</v>
      </c>
    </row>
    <row r="12">
      <c r="C12" s="4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88"/>
  </cols>
  <sheetData>
    <row r="1">
      <c r="A1" s="1" t="s">
        <v>79</v>
      </c>
      <c r="B1" s="2" t="s">
        <v>1</v>
      </c>
    </row>
    <row r="2">
      <c r="A2" s="7" t="s">
        <v>80</v>
      </c>
      <c r="B2" s="4" t="s">
        <v>81</v>
      </c>
    </row>
    <row r="3">
      <c r="A3" s="7" t="s">
        <v>82</v>
      </c>
      <c r="B3" s="4" t="s">
        <v>83</v>
      </c>
    </row>
    <row r="4">
      <c r="A4" s="9" t="s">
        <v>84</v>
      </c>
      <c r="B4" s="6" t="s">
        <v>85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5.75"/>
  </cols>
  <sheetData>
    <row r="1">
      <c r="A1" s="41" t="s">
        <v>86</v>
      </c>
      <c r="B1" s="42" t="s">
        <v>87</v>
      </c>
      <c r="C1" s="42" t="s">
        <v>88</v>
      </c>
      <c r="D1" s="29" t="s">
        <v>89</v>
      </c>
    </row>
    <row r="2">
      <c r="A2" s="16" t="s">
        <v>90</v>
      </c>
      <c r="B2" s="43">
        <v>31.0</v>
      </c>
      <c r="C2" s="43">
        <v>5.0</v>
      </c>
      <c r="D2" s="44">
        <f t="shared" ref="D2:D9" si="1">(C2/B2)*100</f>
        <v>16.12903226</v>
      </c>
    </row>
    <row r="3">
      <c r="A3" s="16" t="s">
        <v>91</v>
      </c>
      <c r="B3" s="43">
        <v>76.0</v>
      </c>
      <c r="C3" s="43">
        <v>12.0</v>
      </c>
      <c r="D3" s="44">
        <f t="shared" si="1"/>
        <v>15.78947368</v>
      </c>
    </row>
    <row r="4">
      <c r="A4" s="16" t="s">
        <v>92</v>
      </c>
      <c r="B4" s="43">
        <v>16.0</v>
      </c>
      <c r="C4" s="43">
        <v>1.0</v>
      </c>
      <c r="D4" s="44">
        <f t="shared" si="1"/>
        <v>6.25</v>
      </c>
    </row>
    <row r="5">
      <c r="A5" s="16" t="s">
        <v>93</v>
      </c>
      <c r="B5" s="43">
        <v>21.0</v>
      </c>
      <c r="C5" s="43">
        <v>5.0</v>
      </c>
      <c r="D5" s="44">
        <f t="shared" si="1"/>
        <v>23.80952381</v>
      </c>
    </row>
    <row r="6">
      <c r="A6" s="7" t="s">
        <v>94</v>
      </c>
      <c r="B6" s="30">
        <v>42.0</v>
      </c>
      <c r="C6" s="30">
        <v>16.0</v>
      </c>
      <c r="D6" s="44">
        <f t="shared" si="1"/>
        <v>38.0952381</v>
      </c>
    </row>
    <row r="7">
      <c r="A7" s="16" t="s">
        <v>46</v>
      </c>
      <c r="B7" s="30">
        <v>5.0</v>
      </c>
      <c r="C7" s="30">
        <v>1.0</v>
      </c>
      <c r="D7" s="44">
        <f t="shared" si="1"/>
        <v>20</v>
      </c>
    </row>
    <row r="8">
      <c r="A8" s="7" t="s">
        <v>48</v>
      </c>
      <c r="B8" s="30">
        <v>6.0</v>
      </c>
      <c r="C8" s="30">
        <v>2.0</v>
      </c>
      <c r="D8" s="44">
        <f t="shared" si="1"/>
        <v>33.33333333</v>
      </c>
    </row>
    <row r="9">
      <c r="A9" s="9" t="s">
        <v>95</v>
      </c>
      <c r="B9" s="45">
        <f t="shared" ref="B9:C9" si="2">SUM(B2:B8)</f>
        <v>197</v>
      </c>
      <c r="C9" s="45">
        <f t="shared" si="2"/>
        <v>42</v>
      </c>
      <c r="D9" s="46">
        <f t="shared" si="1"/>
        <v>21.31979695</v>
      </c>
    </row>
  </sheetData>
  <drawing r:id="rId1"/>
</worksheet>
</file>